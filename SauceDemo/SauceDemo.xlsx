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de08f9611cedc19/Área de Trabalho/Testes para o Portfolio/SauceDemo/"/>
    </mc:Choice>
  </mc:AlternateContent>
  <xr:revisionPtr revIDLastSave="0" documentId="8_{3C723FCE-6FA2-4786-AB54-3DEFC56454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o de Teste" sheetId="1" r:id="rId1"/>
    <sheet name="Casos de Teste" sheetId="2" r:id="rId2"/>
    <sheet name="📊 Dashboard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4" l="1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<sst xmlns="http://schemas.openxmlformats.org/spreadsheetml/2006/main" count="271" uniqueCount="172">
  <si>
    <t>📋  PLANO DE TESTE — E-COMMERCE SAUCEDEMO</t>
  </si>
  <si>
    <t>Objetivo</t>
  </si>
  <si>
    <t>Validar o fluxo completo de compra no SauceDemo, cobrindo login, catálogo, carrinho, checkout e logout.</t>
  </si>
  <si>
    <t>Ambiente</t>
  </si>
  <si>
    <t>Credenciais de Teste</t>
  </si>
  <si>
    <t>Usuário: standard_user | Senha: secret_sauce</t>
  </si>
  <si>
    <t>Escopo</t>
  </si>
  <si>
    <t>Testes funcionais manuais — login, catálogo, carrinho, checkout, confirmação, logout</t>
  </si>
  <si>
    <t>Fora do Escopo</t>
  </si>
  <si>
    <t>Criticidade</t>
  </si>
  <si>
    <t>Alta — fluxo principal de receita</t>
  </si>
  <si>
    <t>Responsável QA</t>
  </si>
  <si>
    <t>Data de Início</t>
  </si>
  <si>
    <t>01/07/2025</t>
  </si>
  <si>
    <t>Data de Fim</t>
  </si>
  <si>
    <t>Status</t>
  </si>
  <si>
    <t>ID</t>
  </si>
  <si>
    <t>Módulo</t>
  </si>
  <si>
    <t>Pré-condições</t>
  </si>
  <si>
    <t>Passos</t>
  </si>
  <si>
    <t>Resultado Esperado</t>
  </si>
  <si>
    <t>Resultado Obtido</t>
  </si>
  <si>
    <t>Prioridade</t>
  </si>
  <si>
    <t>Tipo</t>
  </si>
  <si>
    <t>CT-001</t>
  </si>
  <si>
    <t>Login</t>
  </si>
  <si>
    <t>Login com credenciais válidas</t>
  </si>
  <si>
    <t>Acessar https://www.saucedemo.com</t>
  </si>
  <si>
    <t>1. Abrir o site
2. Inserir user: standard_user
3. Inserir senha: secret_sauce
4. Clicar em 'Login'</t>
  </si>
  <si>
    <t>Redirecionado com sucesso</t>
  </si>
  <si>
    <t>✅ Passou</t>
  </si>
  <si>
    <t>Alta</t>
  </si>
  <si>
    <t>Funcional</t>
  </si>
  <si>
    <t>CT-002</t>
  </si>
  <si>
    <t>Login com senha incorreta</t>
  </si>
  <si>
    <t>Acessar a página de login</t>
  </si>
  <si>
    <t>1. Inserir user: standard_user
2. Inserir senha: senha_errada
3. Clicar em Login</t>
  </si>
  <si>
    <t>Exibir mensagem de erro clara ao usuário</t>
  </si>
  <si>
    <t>Negativo</t>
  </si>
  <si>
    <t>CT-003</t>
  </si>
  <si>
    <t>Login com usuário bloqueado</t>
  </si>
  <si>
    <t>1. Inserir user: locked_out_user
2. Inserir senha: secret_sauce
3. Clicar em Login</t>
  </si>
  <si>
    <t>Mensagem: 'Sorry, this user has been locked out'</t>
  </si>
  <si>
    <t>Mensagem exibida</t>
  </si>
  <si>
    <t>CT-004</t>
  </si>
  <si>
    <t>Campos vazios — validação</t>
  </si>
  <si>
    <t>1. Deixar campos em branco
2. Clicar em Login</t>
  </si>
  <si>
    <t>Mensagem de erro indicando campos obrigatórios</t>
  </si>
  <si>
    <t>Mensagem genérica sem indicar o campo</t>
  </si>
  <si>
    <t>❌ Falhou</t>
  </si>
  <si>
    <t>Média</t>
  </si>
  <si>
    <t>CT-005</t>
  </si>
  <si>
    <t>Catálogo</t>
  </si>
  <si>
    <t>Listagem de produtos</t>
  </si>
  <si>
    <t>Usuário logado como standard_user</t>
  </si>
  <si>
    <t>1. Verificar se produtos são carregados
2. Conferir nome, preço e imagem de cada item</t>
  </si>
  <si>
    <t>Exibir 6 produtos com nome, imagem e preço</t>
  </si>
  <si>
    <t>Todos os 6 produtos exibidos</t>
  </si>
  <si>
    <t>CT-006</t>
  </si>
  <si>
    <t>Ordenação A→Z</t>
  </si>
  <si>
    <t>Usuário logado, catálogo aberto</t>
  </si>
  <si>
    <t>1. Clicar no filtro de ordenação
2. Selecionar 'Name (A to Z)'</t>
  </si>
  <si>
    <t>Produtos ordenados alfabeticamente de A a Z</t>
  </si>
  <si>
    <t>Ordenação correta</t>
  </si>
  <si>
    <t>CT-007</t>
  </si>
  <si>
    <t>CT-008</t>
  </si>
  <si>
    <t>Imagens carregam corretamente</t>
  </si>
  <si>
    <t>Usuário logado</t>
  </si>
  <si>
    <t>1. Verificar todas as imagens do catálogo</t>
  </si>
  <si>
    <t>Todas as imagens exibidas sem quebra</t>
  </si>
  <si>
    <t>Baixa</t>
  </si>
  <si>
    <t>CT-009</t>
  </si>
  <si>
    <t>Carrinho</t>
  </si>
  <si>
    <t>Adicionar produto ao carrinho</t>
  </si>
  <si>
    <t>1. Clicar em 'Add to cart' no produto Sauce Labs Backpack</t>
  </si>
  <si>
    <t>Badge do carrinho exibe '1', botão muda para 'Remove'</t>
  </si>
  <si>
    <t>Comportamento correto</t>
  </si>
  <si>
    <t>CT-010</t>
  </si>
  <si>
    <t>Adicionar múltiplos produtos</t>
  </si>
  <si>
    <t>Correto</t>
  </si>
  <si>
    <t>CT-011</t>
  </si>
  <si>
    <t>Remover produto do carrinho</t>
  </si>
  <si>
    <t>Carrinho com 1+ produtos</t>
  </si>
  <si>
    <t>1. Clicar em 'Remove' em um produto</t>
  </si>
  <si>
    <t>Produto removido, badge decrementado</t>
  </si>
  <si>
    <t>CT-012</t>
  </si>
  <si>
    <t>Carrinho vazio — continuar comprando</t>
  </si>
  <si>
    <t>1. Acessar carrinho vazio
2. Clicar em 'Continue Shopping'</t>
  </si>
  <si>
    <t>Redirecionado para o catálogo</t>
  </si>
  <si>
    <t>CT-013</t>
  </si>
  <si>
    <t>Checkout</t>
  </si>
  <si>
    <t>Preencher informações de entrega</t>
  </si>
  <si>
    <t>Carrinho com produto, em checkout step 1</t>
  </si>
  <si>
    <t>1. Inserir First Name: João
2. Inserir Last Name: Silva
3. Inserir Postal Code: 93000
4. Clicar em 'Continue'</t>
  </si>
  <si>
    <t>Avançar para etapa de revisão do pedido</t>
  </si>
  <si>
    <t>CT-014</t>
  </si>
  <si>
    <t>Checkout sem preencher nome</t>
  </si>
  <si>
    <t>Em checkout step 1</t>
  </si>
  <si>
    <t>1. Deixar First Name em branco
2. Clicar em Continue</t>
  </si>
  <si>
    <t>Erro indicando campo obrigatório</t>
  </si>
  <si>
    <t>Erro exibido corretamente</t>
  </si>
  <si>
    <t>CT-015</t>
  </si>
  <si>
    <t>Revisão do pedido — valores corretos</t>
  </si>
  <si>
    <t>Checkout step 2</t>
  </si>
  <si>
    <t>1. Verificar subtotal
2. Verificar tax
3. Verificar total</t>
  </si>
  <si>
    <t>Total = Subtotal + Tax, calculado corretamente</t>
  </si>
  <si>
    <t>Valores corretos</t>
  </si>
  <si>
    <t>CT-016</t>
  </si>
  <si>
    <t>Finalizar compra</t>
  </si>
  <si>
    <t>1. Clicar em 'Finish'</t>
  </si>
  <si>
    <t>Exibir tela de confirmação: 'Thank you for your order!'</t>
  </si>
  <si>
    <t>Tela de confirmação exibida</t>
  </si>
  <si>
    <t>CT-017</t>
  </si>
  <si>
    <t>Voltar do checkout para carrinho</t>
  </si>
  <si>
    <t>1. Clicar em 'Cancel'</t>
  </si>
  <si>
    <t>Retornar ao carrinho com itens preservados</t>
  </si>
  <si>
    <t>Itens preservados</t>
  </si>
  <si>
    <t>CT-018</t>
  </si>
  <si>
    <t>Logout</t>
  </si>
  <si>
    <t>Logout pelo menu</t>
  </si>
  <si>
    <t>1. Clicar no ícone do menu (≡)
2. Clicar em 'Logout'</t>
  </si>
  <si>
    <t>Redirecionado para a página de login, sessão encerrada</t>
  </si>
  <si>
    <t>Logout executado com sucesso</t>
  </si>
  <si>
    <t>CT-019</t>
  </si>
  <si>
    <t>Performance de login</t>
  </si>
  <si>
    <t>Credenciais válidas prontas</t>
  </si>
  <si>
    <t>1. Fazer login e cronometrar o tempo de resposta</t>
  </si>
  <si>
    <t>Performance</t>
  </si>
  <si>
    <t>CT-020</t>
  </si>
  <si>
    <t>Responsividade mobile</t>
  </si>
  <si>
    <t>Usuário logado, DevTools mobile</t>
  </si>
  <si>
    <t>1. Acessar catálogo em viewport 375px
2. Verificar layout e botões</t>
  </si>
  <si>
    <t>Layout responsivo, botões acessíveis</t>
  </si>
  <si>
    <t>Usabilidade</t>
  </si>
  <si>
    <t>Título</t>
  </si>
  <si>
    <t>📊  DASHBOARD DE QUALIDADE — SAUCEDEMO</t>
  </si>
  <si>
    <t>EXECUÇÃO DE CASOS DE TESTE</t>
  </si>
  <si>
    <t>Total de Casos de Teste</t>
  </si>
  <si>
    <t>⚠️ Bloqueado</t>
  </si>
  <si>
    <t>⏭️ Não executado</t>
  </si>
  <si>
    <t>📈 Taxa de Aprovação (%)</t>
  </si>
  <si>
    <t>📉 Taxa de Falha (%)</t>
  </si>
  <si>
    <t>Usuário redirecionado para página visível</t>
  </si>
  <si>
    <t>Mensagem exibida porém com informações aleatórias, deixando o usuário confuso</t>
  </si>
  <si>
    <t>Ordenação por preço decrescente</t>
  </si>
  <si>
    <t>1. Clicar no filtro
2. Selecionar 'Price (high to low)'</t>
  </si>
  <si>
    <t>Produtos ordenados do maior para o menor preço</t>
  </si>
  <si>
    <t>1. Adicionar 6 produtos diferentes ao carrinho</t>
  </si>
  <si>
    <t>Badge exibe '6', todos itens no carrinho</t>
  </si>
  <si>
    <t>O site deixou seguir o processo mesmo sem nenhum produto no carrinho</t>
  </si>
  <si>
    <t>Avançou corretamente, porém os campos 'first name' e 'last name' está aceitando numerais e caracteres especiais sendo que não deveria</t>
  </si>
  <si>
    <t>Checkout sem preencher sobrenome</t>
  </si>
  <si>
    <t>1. Deixar Last Name em branco
2. Clicar em Continue</t>
  </si>
  <si>
    <t>Checkout sem preencher código postal</t>
  </si>
  <si>
    <t>1. Deixar Postal Code em branco
2. Clicar em Continue</t>
  </si>
  <si>
    <t>CT-021</t>
  </si>
  <si>
    <t>CT-022</t>
  </si>
  <si>
    <t>Resposta em menos de 7 segundos</t>
  </si>
  <si>
    <t>Tempo de login 5145.83 ms</t>
  </si>
  <si>
    <t>Layout ruim e não responsivo para mobile</t>
  </si>
  <si>
    <t>CT-023</t>
  </si>
  <si>
    <t>Bug de login</t>
  </si>
  <si>
    <t>Logar com usuário errado e errar novamente</t>
  </si>
  <si>
    <t>1. Logar com um usuário errado 
2. Apagar algum caractere errado e colocar outro também errado</t>
  </si>
  <si>
    <t>Back fazer uma nova requisição para o Front mostrar que tentou novamente</t>
  </si>
  <si>
    <t>Página não carrega e a mensagem de erro continua a mesma, deixando o usuário confuso</t>
  </si>
  <si>
    <t>Guilherme Daudt</t>
  </si>
  <si>
    <t>https://www.saucedemo.com — Chrome, mobile</t>
  </si>
  <si>
    <t>Testes de performance, back pelo console</t>
  </si>
  <si>
    <t>Finalizado</t>
  </si>
  <si>
    <t>Atualizado: 02/07/2025</t>
  </si>
  <si>
    <t>Projeto: Fluxo de Compra Completo | QA: Guilherme Daudt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</si>
</sst>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A0B0D0"/>
      <name val="Arial"/>
      <charset val="1"/>
    </font>
    <font>
      <b/>
      <sz val="10"/>
      <color rgb="FF1A2235"/>
      <name val="Arial"/>
      <charset val="1"/>
    </font>
    <font>
      <sz val="10"/>
      <color rgb="FF1A2235"/>
      <name val="Arial"/>
      <charset val="1"/>
    </font>
    <font>
      <b/>
      <sz val="10"/>
      <color rgb="FFFFFFFF"/>
      <name val="Arial"/>
      <charset val="1"/>
    </font>
    <font>
      <sz val="9"/>
      <color rgb="FF1A2235"/>
      <name val="Arial"/>
      <charset val="1"/>
    </font>
    <font>
      <b/>
      <sz val="9"/>
      <color rgb="FF065F46"/>
      <name val="Arial"/>
      <charset val="1"/>
    </font>
    <font>
      <b/>
      <sz val="9"/>
      <color rgb="FF991B1B"/>
      <name val="Arial"/>
      <charset val="1"/>
    </font>
    <font>
      <b/>
      <sz val="9"/>
      <color rgb="FF92400E"/>
      <name val="Arial"/>
      <charset val="1"/>
    </font>
    <font>
      <b/>
      <sz val="11"/>
      <color rgb="FF4F9EF8"/>
      <name val="Arial"/>
      <charset val="1"/>
    </font>
    <font>
      <b/>
      <sz val="11"/>
      <color rgb="FF3DD68C"/>
      <name val="Arial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A2235"/>
        <bgColor rgb="FF243050"/>
      </patternFill>
    </fill>
    <fill>
      <patternFill patternType="solid">
        <fgColor rgb="FF243050"/>
        <bgColor rgb="FF1A2235"/>
      </patternFill>
    </fill>
    <fill>
      <patternFill patternType="solid">
        <fgColor rgb="FFF4F6FA"/>
        <bgColor rgb="FFF3F4F6"/>
      </patternFill>
    </fill>
    <fill>
      <patternFill patternType="solid">
        <fgColor rgb="FFFFFFFF"/>
        <bgColor rgb="FFF4F6FA"/>
      </patternFill>
    </fill>
    <fill>
      <patternFill patternType="solid">
        <fgColor rgb="FFD1FAE5"/>
        <bgColor rgb="FFDBEAFE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5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D0D7E8"/>
      </left>
      <right/>
      <top style="thin">
        <color rgb="FFD0D7E8"/>
      </top>
      <bottom style="thin">
        <color rgb="FFD0D7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8"/>
      </left>
      <right/>
      <top style="thin">
        <color rgb="FFD0D7E8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left" vertical="center" wrapText="1"/>
    </xf>
    <xf numFmtId="0" fontId="0" fillId="0" borderId="0" xfId="0" applyBorder="1"/>
    <xf numFmtId="0" fontId="3" fillId="4" borderId="0" xfId="0" applyFont="1" applyFill="1" applyBorder="1" applyAlignment="1">
      <alignment horizontal="left" vertical="center" wrapText="1"/>
    </xf>
    <xf numFmtId="0" fontId="11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 wrapText="1"/>
    </xf>
    <xf numFmtId="0" fontId="11" fillId="5" borderId="0" xfId="0" applyFont="1" applyFill="1" applyBorder="1" applyAlignment="1">
      <alignment horizontal="center" vertical="center"/>
    </xf>
    <xf numFmtId="164" fontId="11" fillId="4" borderId="0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center" vertical="center"/>
    </xf>
    <xf numFmtId="164" fontId="10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A0B0D0"/>
      <rgbColor rgb="FF808080"/>
      <rgbColor rgb="FF4F9EF8"/>
      <rgbColor rgb="FF993366"/>
      <rgbColor rgb="FFFEF3C7"/>
      <rgbColor rgb="FFDBEAFE"/>
      <rgbColor rgb="FF660066"/>
      <rgbColor rgb="FFFF8080"/>
      <rgbColor rgb="FF0066CC"/>
      <rgbColor rgb="FFD0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1FAE5"/>
      <rgbColor rgb="FFF3F4F6"/>
      <rgbColor rgb="FF99CCFF"/>
      <rgbColor rgb="FFFF99CC"/>
      <rgbColor rgb="FFCC99FF"/>
      <rgbColor rgb="FFFEE2E2"/>
      <rgbColor rgb="FF3366FF"/>
      <rgbColor rgb="FF3DD68C"/>
      <rgbColor rgb="FF99CC00"/>
      <rgbColor rgb="FFFFCC00"/>
      <rgbColor rgb="FFFF9900"/>
      <rgbColor rgb="FFFF6600"/>
      <rgbColor rgb="FF666699"/>
      <rgbColor rgb="FF969696"/>
      <rgbColor rgb="FF1A2235"/>
      <rgbColor rgb="FF339966"/>
      <rgbColor rgb="FF003300"/>
      <rgbColor rgb="FF374151"/>
      <rgbColor rgb="FF92400E"/>
      <rgbColor rgb="FF993366"/>
      <rgbColor rgb="FF1E40AF"/>
      <rgbColor rgb="FF243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zoomScaleNormal="100" workbookViewId="0">
      <selection activeCell="A3" sqref="A3"/>
    </sheetView>
  </sheetViews>
  <sheetFormatPr defaultColWidth="8.7109375" defaultRowHeight="15" x14ac:dyDescent="0.25"/>
  <cols>
    <col min="1" max="1" width="22" customWidth="1"/>
    <col min="2" max="2" width="40" customWidth="1"/>
  </cols>
  <sheetData>
    <row r="1" spans="1:2" ht="16.5" x14ac:dyDescent="0.25">
      <c r="A1" s="11" t="s">
        <v>0</v>
      </c>
      <c r="B1" s="11"/>
    </row>
    <row r="2" spans="1:2" x14ac:dyDescent="0.25">
      <c r="A2" s="12" t="s">
        <v>171</v>
      </c>
      <c r="B2" s="12"/>
    </row>
    <row r="3" spans="1:2" ht="38.25" x14ac:dyDescent="0.25">
      <c r="A3" s="1" t="s">
        <v>1</v>
      </c>
      <c r="B3" s="2" t="s">
        <v>2</v>
      </c>
    </row>
    <row r="4" spans="1:2" ht="25.5" x14ac:dyDescent="0.25">
      <c r="A4" s="3" t="s">
        <v>3</v>
      </c>
      <c r="B4" s="4" t="s">
        <v>167</v>
      </c>
    </row>
    <row r="5" spans="1:2" ht="25.5" x14ac:dyDescent="0.25">
      <c r="A5" s="1" t="s">
        <v>4</v>
      </c>
      <c r="B5" s="2" t="s">
        <v>5</v>
      </c>
    </row>
    <row r="6" spans="1:2" ht="38.25" x14ac:dyDescent="0.25">
      <c r="A6" s="3" t="s">
        <v>6</v>
      </c>
      <c r="B6" s="4" t="s">
        <v>7</v>
      </c>
    </row>
    <row r="7" spans="1:2" x14ac:dyDescent="0.25">
      <c r="A7" s="1" t="s">
        <v>8</v>
      </c>
      <c r="B7" s="2" t="s">
        <v>168</v>
      </c>
    </row>
    <row r="8" spans="1:2" x14ac:dyDescent="0.25">
      <c r="A8" s="3" t="s">
        <v>9</v>
      </c>
      <c r="B8" s="4" t="s">
        <v>10</v>
      </c>
    </row>
    <row r="9" spans="1:2" x14ac:dyDescent="0.25">
      <c r="A9" s="1" t="s">
        <v>11</v>
      </c>
      <c r="B9" s="2" t="s">
        <v>166</v>
      </c>
    </row>
    <row r="10" spans="1:2" x14ac:dyDescent="0.25">
      <c r="A10" s="3" t="s">
        <v>12</v>
      </c>
      <c r="B10" s="4" t="s">
        <v>13</v>
      </c>
    </row>
    <row r="11" spans="1:2" x14ac:dyDescent="0.25">
      <c r="A11" s="1" t="s">
        <v>14</v>
      </c>
      <c r="B11" s="16">
        <v>45840</v>
      </c>
    </row>
    <row r="12" spans="1:2" x14ac:dyDescent="0.25">
      <c r="A12" s="3" t="s">
        <v>15</v>
      </c>
      <c r="B12" s="4" t="s">
        <v>169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zoomScaleNormal="100" workbookViewId="0">
      <pane ySplit="1" topLeftCell="A8" activePane="bottomLeft" state="frozen"/>
      <selection pane="bottomLeft" activeCell="H24" sqref="H24"/>
    </sheetView>
  </sheetViews>
  <sheetFormatPr defaultColWidth="8.7109375" defaultRowHeight="15" x14ac:dyDescent="0.25"/>
  <cols>
    <col min="1" max="1" width="10" customWidth="1"/>
    <col min="2" max="2" width="14" customWidth="1"/>
    <col min="3" max="3" width="32" customWidth="1"/>
    <col min="4" max="4" width="28" customWidth="1"/>
    <col min="5" max="5" width="44" customWidth="1"/>
    <col min="6" max="6" width="36" customWidth="1"/>
    <col min="7" max="7" width="28" customWidth="1"/>
    <col min="8" max="9" width="11" customWidth="1"/>
    <col min="10" max="10" width="13" customWidth="1"/>
  </cols>
  <sheetData>
    <row r="1" spans="1:10" ht="30" customHeight="1" x14ac:dyDescent="0.25">
      <c r="A1" s="5" t="s">
        <v>16</v>
      </c>
      <c r="B1" s="5" t="s">
        <v>17</v>
      </c>
      <c r="C1" s="5" t="s">
        <v>134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15</v>
      </c>
      <c r="I1" s="5" t="s">
        <v>22</v>
      </c>
      <c r="J1" s="5" t="s">
        <v>23</v>
      </c>
    </row>
    <row r="2" spans="1:10" ht="54" customHeight="1" x14ac:dyDescent="0.2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142</v>
      </c>
      <c r="G2" s="6" t="s">
        <v>29</v>
      </c>
      <c r="H2" s="7" t="s">
        <v>30</v>
      </c>
      <c r="I2" s="8" t="s">
        <v>31</v>
      </c>
      <c r="J2" s="6" t="s">
        <v>32</v>
      </c>
    </row>
    <row r="3" spans="1:10" ht="54" customHeight="1" x14ac:dyDescent="0.25">
      <c r="A3" s="9" t="s">
        <v>33</v>
      </c>
      <c r="B3" s="9" t="s">
        <v>25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143</v>
      </c>
      <c r="H3" s="8" t="s">
        <v>49</v>
      </c>
      <c r="I3" s="8" t="s">
        <v>31</v>
      </c>
      <c r="J3" s="9" t="s">
        <v>38</v>
      </c>
    </row>
    <row r="4" spans="1:10" ht="54" customHeight="1" x14ac:dyDescent="0.25">
      <c r="A4" s="6" t="s">
        <v>39</v>
      </c>
      <c r="B4" s="6" t="s">
        <v>25</v>
      </c>
      <c r="C4" s="6" t="s">
        <v>40</v>
      </c>
      <c r="D4" s="6" t="s">
        <v>35</v>
      </c>
      <c r="E4" s="6" t="s">
        <v>41</v>
      </c>
      <c r="F4" s="6" t="s">
        <v>42</v>
      </c>
      <c r="G4" s="6" t="s">
        <v>43</v>
      </c>
      <c r="H4" s="7" t="s">
        <v>30</v>
      </c>
      <c r="I4" s="8" t="s">
        <v>31</v>
      </c>
      <c r="J4" s="6" t="s">
        <v>38</v>
      </c>
    </row>
    <row r="5" spans="1:10" ht="54" customHeight="1" x14ac:dyDescent="0.25">
      <c r="A5" s="9" t="s">
        <v>44</v>
      </c>
      <c r="B5" s="9" t="s">
        <v>25</v>
      </c>
      <c r="C5" s="9" t="s">
        <v>45</v>
      </c>
      <c r="D5" s="9" t="s">
        <v>35</v>
      </c>
      <c r="E5" s="9" t="s">
        <v>46</v>
      </c>
      <c r="F5" s="9" t="s">
        <v>47</v>
      </c>
      <c r="G5" s="9" t="s">
        <v>48</v>
      </c>
      <c r="H5" s="8" t="s">
        <v>49</v>
      </c>
      <c r="I5" s="10" t="s">
        <v>50</v>
      </c>
      <c r="J5" s="9" t="s">
        <v>38</v>
      </c>
    </row>
    <row r="6" spans="1:10" ht="54" customHeight="1" x14ac:dyDescent="0.25">
      <c r="A6" s="6" t="s">
        <v>51</v>
      </c>
      <c r="B6" s="6" t="s">
        <v>52</v>
      </c>
      <c r="C6" s="6" t="s">
        <v>53</v>
      </c>
      <c r="D6" s="6" t="s">
        <v>54</v>
      </c>
      <c r="E6" s="6" t="s">
        <v>55</v>
      </c>
      <c r="F6" s="6" t="s">
        <v>56</v>
      </c>
      <c r="G6" s="6" t="s">
        <v>57</v>
      </c>
      <c r="H6" s="7" t="s">
        <v>30</v>
      </c>
      <c r="I6" s="8" t="s">
        <v>31</v>
      </c>
      <c r="J6" s="6" t="s">
        <v>32</v>
      </c>
    </row>
    <row r="7" spans="1:10" ht="54" customHeight="1" x14ac:dyDescent="0.25">
      <c r="A7" s="9" t="s">
        <v>58</v>
      </c>
      <c r="B7" s="9" t="s">
        <v>52</v>
      </c>
      <c r="C7" s="9" t="s">
        <v>59</v>
      </c>
      <c r="D7" s="9" t="s">
        <v>60</v>
      </c>
      <c r="E7" s="9" t="s">
        <v>61</v>
      </c>
      <c r="F7" s="9" t="s">
        <v>62</v>
      </c>
      <c r="G7" s="9" t="s">
        <v>63</v>
      </c>
      <c r="H7" s="7" t="s">
        <v>30</v>
      </c>
      <c r="I7" s="10" t="s">
        <v>50</v>
      </c>
      <c r="J7" s="9" t="s">
        <v>32</v>
      </c>
    </row>
    <row r="8" spans="1:10" ht="54" customHeight="1" x14ac:dyDescent="0.25">
      <c r="A8" s="6" t="s">
        <v>64</v>
      </c>
      <c r="B8" s="6" t="s">
        <v>52</v>
      </c>
      <c r="C8" s="6" t="s">
        <v>144</v>
      </c>
      <c r="D8" s="6" t="s">
        <v>60</v>
      </c>
      <c r="E8" s="6" t="s">
        <v>145</v>
      </c>
      <c r="F8" s="6" t="s">
        <v>146</v>
      </c>
      <c r="G8" s="6" t="s">
        <v>63</v>
      </c>
      <c r="H8" s="7" t="s">
        <v>30</v>
      </c>
      <c r="I8" s="10" t="s">
        <v>50</v>
      </c>
      <c r="J8" s="6" t="s">
        <v>32</v>
      </c>
    </row>
    <row r="9" spans="1:10" ht="54" customHeight="1" x14ac:dyDescent="0.25">
      <c r="A9" s="9" t="s">
        <v>65</v>
      </c>
      <c r="B9" s="9" t="s">
        <v>52</v>
      </c>
      <c r="C9" s="9" t="s">
        <v>66</v>
      </c>
      <c r="D9" s="9" t="s">
        <v>67</v>
      </c>
      <c r="E9" s="9" t="s">
        <v>68</v>
      </c>
      <c r="F9" s="9" t="s">
        <v>69</v>
      </c>
      <c r="G9" s="9" t="s">
        <v>79</v>
      </c>
      <c r="H9" s="7" t="s">
        <v>30</v>
      </c>
      <c r="I9" s="7" t="s">
        <v>70</v>
      </c>
      <c r="J9" s="9" t="s">
        <v>32</v>
      </c>
    </row>
    <row r="10" spans="1:10" ht="54" customHeight="1" x14ac:dyDescent="0.25">
      <c r="A10" s="6" t="s">
        <v>71</v>
      </c>
      <c r="B10" s="6" t="s">
        <v>72</v>
      </c>
      <c r="C10" s="6" t="s">
        <v>73</v>
      </c>
      <c r="D10" s="6" t="s">
        <v>60</v>
      </c>
      <c r="E10" s="6" t="s">
        <v>74</v>
      </c>
      <c r="F10" s="6" t="s">
        <v>75</v>
      </c>
      <c r="G10" s="6" t="s">
        <v>76</v>
      </c>
      <c r="H10" s="7" t="s">
        <v>30</v>
      </c>
      <c r="I10" s="8" t="s">
        <v>31</v>
      </c>
      <c r="J10" s="6" t="s">
        <v>32</v>
      </c>
    </row>
    <row r="11" spans="1:10" ht="54" customHeight="1" x14ac:dyDescent="0.25">
      <c r="A11" s="9" t="s">
        <v>77</v>
      </c>
      <c r="B11" s="9" t="s">
        <v>72</v>
      </c>
      <c r="C11" s="9" t="s">
        <v>78</v>
      </c>
      <c r="D11" s="9" t="s">
        <v>67</v>
      </c>
      <c r="E11" s="9" t="s">
        <v>147</v>
      </c>
      <c r="F11" s="9" t="s">
        <v>148</v>
      </c>
      <c r="G11" s="9" t="s">
        <v>79</v>
      </c>
      <c r="H11" s="7" t="s">
        <v>30</v>
      </c>
      <c r="I11" s="8" t="s">
        <v>31</v>
      </c>
      <c r="J11" s="9" t="s">
        <v>32</v>
      </c>
    </row>
    <row r="12" spans="1:10" ht="54" customHeight="1" x14ac:dyDescent="0.25">
      <c r="A12" s="6" t="s">
        <v>80</v>
      </c>
      <c r="B12" s="6" t="s">
        <v>72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79</v>
      </c>
      <c r="H12" s="7" t="s">
        <v>30</v>
      </c>
      <c r="I12" s="8" t="s">
        <v>31</v>
      </c>
      <c r="J12" s="6" t="s">
        <v>32</v>
      </c>
    </row>
    <row r="13" spans="1:10" ht="54" customHeight="1" x14ac:dyDescent="0.25">
      <c r="A13" s="9" t="s">
        <v>85</v>
      </c>
      <c r="B13" s="9" t="s">
        <v>72</v>
      </c>
      <c r="C13" s="9" t="s">
        <v>86</v>
      </c>
      <c r="D13" s="9" t="s">
        <v>67</v>
      </c>
      <c r="E13" s="9" t="s">
        <v>87</v>
      </c>
      <c r="F13" s="9" t="s">
        <v>88</v>
      </c>
      <c r="G13" s="9" t="s">
        <v>149</v>
      </c>
      <c r="H13" s="8" t="s">
        <v>49</v>
      </c>
      <c r="I13" s="10" t="s">
        <v>50</v>
      </c>
      <c r="J13" s="9" t="s">
        <v>32</v>
      </c>
    </row>
    <row r="14" spans="1:10" ht="63" customHeight="1" x14ac:dyDescent="0.25">
      <c r="A14" s="6" t="s">
        <v>89</v>
      </c>
      <c r="B14" s="6" t="s">
        <v>90</v>
      </c>
      <c r="C14" s="6" t="s">
        <v>91</v>
      </c>
      <c r="D14" s="6" t="s">
        <v>92</v>
      </c>
      <c r="E14" s="6" t="s">
        <v>93</v>
      </c>
      <c r="F14" s="6" t="s">
        <v>94</v>
      </c>
      <c r="G14" s="6" t="s">
        <v>150</v>
      </c>
      <c r="H14" s="8" t="s">
        <v>49</v>
      </c>
      <c r="I14" s="8" t="s">
        <v>31</v>
      </c>
      <c r="J14" s="6" t="s">
        <v>32</v>
      </c>
    </row>
    <row r="15" spans="1:10" ht="54" customHeight="1" x14ac:dyDescent="0.25">
      <c r="A15" s="9" t="s">
        <v>95</v>
      </c>
      <c r="B15" s="9" t="s">
        <v>90</v>
      </c>
      <c r="C15" s="9" t="s">
        <v>96</v>
      </c>
      <c r="D15" s="9" t="s">
        <v>97</v>
      </c>
      <c r="E15" s="9" t="s">
        <v>98</v>
      </c>
      <c r="F15" s="9" t="s">
        <v>99</v>
      </c>
      <c r="G15" s="9" t="s">
        <v>100</v>
      </c>
      <c r="H15" s="7" t="s">
        <v>30</v>
      </c>
      <c r="I15" s="8" t="s">
        <v>31</v>
      </c>
      <c r="J15" s="9" t="s">
        <v>38</v>
      </c>
    </row>
    <row r="16" spans="1:10" ht="54" customHeight="1" x14ac:dyDescent="0.25">
      <c r="A16" s="9" t="s">
        <v>101</v>
      </c>
      <c r="B16" s="9" t="s">
        <v>90</v>
      </c>
      <c r="C16" s="9" t="s">
        <v>151</v>
      </c>
      <c r="D16" s="9" t="s">
        <v>97</v>
      </c>
      <c r="E16" s="9" t="s">
        <v>152</v>
      </c>
      <c r="F16" s="9" t="s">
        <v>99</v>
      </c>
      <c r="G16" s="9" t="s">
        <v>100</v>
      </c>
      <c r="H16" s="7" t="s">
        <v>30</v>
      </c>
      <c r="I16" s="8" t="s">
        <v>31</v>
      </c>
      <c r="J16" s="9" t="s">
        <v>38</v>
      </c>
    </row>
    <row r="17" spans="1:10" ht="54" customHeight="1" x14ac:dyDescent="0.25">
      <c r="A17" s="9" t="s">
        <v>107</v>
      </c>
      <c r="B17" s="9" t="s">
        <v>90</v>
      </c>
      <c r="C17" s="9" t="s">
        <v>153</v>
      </c>
      <c r="D17" s="9" t="s">
        <v>97</v>
      </c>
      <c r="E17" s="9" t="s">
        <v>154</v>
      </c>
      <c r="F17" s="9" t="s">
        <v>99</v>
      </c>
      <c r="G17" s="9" t="s">
        <v>100</v>
      </c>
      <c r="H17" s="7" t="s">
        <v>30</v>
      </c>
      <c r="I17" s="8" t="s">
        <v>31</v>
      </c>
      <c r="J17" s="9" t="s">
        <v>38</v>
      </c>
    </row>
    <row r="18" spans="1:10" ht="54" customHeight="1" x14ac:dyDescent="0.25">
      <c r="A18" s="9" t="s">
        <v>112</v>
      </c>
      <c r="B18" s="6" t="s">
        <v>90</v>
      </c>
      <c r="C18" s="6" t="s">
        <v>102</v>
      </c>
      <c r="D18" s="6" t="s">
        <v>103</v>
      </c>
      <c r="E18" s="6" t="s">
        <v>104</v>
      </c>
      <c r="F18" s="6" t="s">
        <v>105</v>
      </c>
      <c r="G18" s="6" t="s">
        <v>106</v>
      </c>
      <c r="H18" s="7" t="s">
        <v>30</v>
      </c>
      <c r="I18" s="8" t="s">
        <v>31</v>
      </c>
      <c r="J18" s="6" t="s">
        <v>32</v>
      </c>
    </row>
    <row r="19" spans="1:10" ht="54" customHeight="1" x14ac:dyDescent="0.25">
      <c r="A19" s="9" t="s">
        <v>117</v>
      </c>
      <c r="B19" s="9" t="s">
        <v>90</v>
      </c>
      <c r="C19" s="9" t="s">
        <v>108</v>
      </c>
      <c r="D19" s="9" t="s">
        <v>103</v>
      </c>
      <c r="E19" s="9" t="s">
        <v>109</v>
      </c>
      <c r="F19" s="9" t="s">
        <v>110</v>
      </c>
      <c r="G19" s="9" t="s">
        <v>111</v>
      </c>
      <c r="H19" s="7" t="s">
        <v>30</v>
      </c>
      <c r="I19" s="8" t="s">
        <v>31</v>
      </c>
      <c r="J19" s="9" t="s">
        <v>32</v>
      </c>
    </row>
    <row r="20" spans="1:10" ht="54" customHeight="1" x14ac:dyDescent="0.25">
      <c r="A20" s="9" t="s">
        <v>123</v>
      </c>
      <c r="B20" s="6" t="s">
        <v>90</v>
      </c>
      <c r="C20" s="6" t="s">
        <v>113</v>
      </c>
      <c r="D20" s="6" t="s">
        <v>97</v>
      </c>
      <c r="E20" s="6" t="s">
        <v>114</v>
      </c>
      <c r="F20" s="6" t="s">
        <v>115</v>
      </c>
      <c r="G20" s="6" t="s">
        <v>116</v>
      </c>
      <c r="H20" s="7" t="s">
        <v>30</v>
      </c>
      <c r="I20" s="10" t="s">
        <v>50</v>
      </c>
      <c r="J20" s="6" t="s">
        <v>32</v>
      </c>
    </row>
    <row r="21" spans="1:10" ht="54" customHeight="1" x14ac:dyDescent="0.25">
      <c r="A21" s="9" t="s">
        <v>128</v>
      </c>
      <c r="B21" s="9" t="s">
        <v>118</v>
      </c>
      <c r="C21" s="9" t="s">
        <v>119</v>
      </c>
      <c r="D21" s="9" t="s">
        <v>67</v>
      </c>
      <c r="E21" s="9" t="s">
        <v>120</v>
      </c>
      <c r="F21" s="9" t="s">
        <v>121</v>
      </c>
      <c r="G21" s="9" t="s">
        <v>122</v>
      </c>
      <c r="H21" s="7" t="s">
        <v>30</v>
      </c>
      <c r="I21" s="8" t="s">
        <v>31</v>
      </c>
      <c r="J21" s="9" t="s">
        <v>32</v>
      </c>
    </row>
    <row r="22" spans="1:10" ht="54" customHeight="1" x14ac:dyDescent="0.25">
      <c r="A22" s="9" t="s">
        <v>155</v>
      </c>
      <c r="B22" s="6" t="s">
        <v>25</v>
      </c>
      <c r="C22" s="6" t="s">
        <v>124</v>
      </c>
      <c r="D22" s="6" t="s">
        <v>125</v>
      </c>
      <c r="E22" s="6" t="s">
        <v>126</v>
      </c>
      <c r="F22" s="6" t="s">
        <v>157</v>
      </c>
      <c r="G22" s="6" t="s">
        <v>158</v>
      </c>
      <c r="H22" s="7" t="s">
        <v>30</v>
      </c>
      <c r="I22" s="10" t="s">
        <v>50</v>
      </c>
      <c r="J22" s="6" t="s">
        <v>127</v>
      </c>
    </row>
    <row r="23" spans="1:10" ht="54" customHeight="1" x14ac:dyDescent="0.25">
      <c r="A23" s="9" t="s">
        <v>156</v>
      </c>
      <c r="B23" s="9" t="s">
        <v>52</v>
      </c>
      <c r="C23" s="9" t="s">
        <v>129</v>
      </c>
      <c r="D23" s="9" t="s">
        <v>130</v>
      </c>
      <c r="E23" s="9" t="s">
        <v>131</v>
      </c>
      <c r="F23" s="9" t="s">
        <v>132</v>
      </c>
      <c r="G23" s="9" t="s">
        <v>159</v>
      </c>
      <c r="H23" s="8" t="s">
        <v>49</v>
      </c>
      <c r="I23" s="10" t="s">
        <v>50</v>
      </c>
      <c r="J23" s="9" t="s">
        <v>133</v>
      </c>
    </row>
    <row r="24" spans="1:10" ht="59.25" customHeight="1" x14ac:dyDescent="0.25">
      <c r="A24" s="9" t="s">
        <v>160</v>
      </c>
      <c r="B24" s="9" t="s">
        <v>25</v>
      </c>
      <c r="C24" s="9" t="s">
        <v>161</v>
      </c>
      <c r="D24" s="9" t="s">
        <v>162</v>
      </c>
      <c r="E24" s="9" t="s">
        <v>163</v>
      </c>
      <c r="F24" s="9" t="s">
        <v>164</v>
      </c>
      <c r="G24" s="9" t="s">
        <v>165</v>
      </c>
      <c r="H24" s="8" t="s">
        <v>49</v>
      </c>
      <c r="I24" s="10" t="s">
        <v>50</v>
      </c>
      <c r="J24" s="9" t="s">
        <v>133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zoomScaleNormal="100" workbookViewId="0">
      <selection activeCell="D15" sqref="D15"/>
    </sheetView>
  </sheetViews>
  <sheetFormatPr defaultColWidth="8.7109375" defaultRowHeight="15" x14ac:dyDescent="0.25"/>
  <cols>
    <col min="1" max="1" width="30" customWidth="1"/>
    <col min="2" max="4" width="18" customWidth="1"/>
  </cols>
  <sheetData>
    <row r="1" spans="1:4" ht="36" customHeight="1" x14ac:dyDescent="0.25">
      <c r="A1" s="13" t="s">
        <v>135</v>
      </c>
      <c r="B1" s="13"/>
      <c r="C1" s="13"/>
      <c r="D1" s="13"/>
    </row>
    <row r="2" spans="1:4" ht="19.5" customHeight="1" x14ac:dyDescent="0.25">
      <c r="A2" s="14" t="s">
        <v>170</v>
      </c>
      <c r="B2" s="14"/>
      <c r="C2" s="14"/>
      <c r="D2" s="14"/>
    </row>
    <row r="3" spans="1:4" ht="24" customHeight="1" x14ac:dyDescent="0.25">
      <c r="A3" s="23" t="s">
        <v>136</v>
      </c>
      <c r="B3" s="23"/>
      <c r="C3" s="15"/>
      <c r="D3" s="15"/>
    </row>
    <row r="4" spans="1:4" ht="25.5" customHeight="1" x14ac:dyDescent="0.25">
      <c r="A4" s="24" t="s">
        <v>137</v>
      </c>
      <c r="B4" s="25">
        <f>COUNTA('Casos de Teste'!A2:A101)</f>
        <v>23</v>
      </c>
    </row>
    <row r="5" spans="1:4" ht="25.5" customHeight="1" x14ac:dyDescent="0.25">
      <c r="A5" s="26" t="s">
        <v>30</v>
      </c>
      <c r="B5" s="27">
        <f>COUNTIF('Casos de Teste'!H2:H101,"✅ Passou")</f>
        <v>17</v>
      </c>
    </row>
    <row r="6" spans="1:4" ht="25.5" customHeight="1" x14ac:dyDescent="0.25">
      <c r="A6" s="24" t="s">
        <v>49</v>
      </c>
      <c r="B6" s="25">
        <f>COUNTIF('Casos de Teste'!H2:H101,"❌ Falhou")</f>
        <v>6</v>
      </c>
    </row>
    <row r="7" spans="1:4" ht="25.5" customHeight="1" x14ac:dyDescent="0.25">
      <c r="A7" s="26" t="s">
        <v>138</v>
      </c>
      <c r="B7" s="27">
        <f>COUNTIF('Casos de Teste'!H2:H101,"⚠️ Bloqueado")</f>
        <v>0</v>
      </c>
    </row>
    <row r="8" spans="1:4" ht="25.5" customHeight="1" x14ac:dyDescent="0.25">
      <c r="A8" s="24" t="s">
        <v>139</v>
      </c>
      <c r="B8" s="25">
        <f>COUNTIF('Casos de Teste'!H2:H101,"⏭️ Não executado")</f>
        <v>0</v>
      </c>
    </row>
    <row r="9" spans="1:4" ht="25.5" customHeight="1" x14ac:dyDescent="0.25">
      <c r="A9" s="26" t="s">
        <v>140</v>
      </c>
      <c r="B9" s="28">
        <f>IFERROR(COUNTIF('Casos de Teste'!H2:H101,"✅ Passou")/COUNTA('Casos de Teste'!A2:A101)*100,0)</f>
        <v>73.91304347826086</v>
      </c>
    </row>
    <row r="10" spans="1:4" ht="25.5" customHeight="1" x14ac:dyDescent="0.25">
      <c r="A10" s="24" t="s">
        <v>141</v>
      </c>
      <c r="B10" s="29">
        <f>IFERROR(COUNTIF('Casos de Teste'!H2:H101,"❌ Falhou")/COUNTA('Casos de Teste'!A2:A101)*100,0)</f>
        <v>26.086956521739129</v>
      </c>
    </row>
    <row r="11" spans="1:4" x14ac:dyDescent="0.25">
      <c r="A11" s="17"/>
      <c r="B11" s="17"/>
      <c r="C11" s="17"/>
    </row>
    <row r="12" spans="1:4" ht="25.5" customHeight="1" x14ac:dyDescent="0.25">
      <c r="A12" s="18"/>
      <c r="B12" s="19"/>
      <c r="C12" s="17"/>
    </row>
    <row r="13" spans="1:4" ht="25.5" customHeight="1" x14ac:dyDescent="0.25">
      <c r="A13" s="20"/>
      <c r="B13" s="21"/>
      <c r="C13" s="17"/>
    </row>
    <row r="14" spans="1:4" ht="25.5" customHeight="1" x14ac:dyDescent="0.25">
      <c r="A14" s="18"/>
      <c r="B14" s="19"/>
      <c r="C14" s="17"/>
    </row>
    <row r="15" spans="1:4" ht="25.5" customHeight="1" x14ac:dyDescent="0.25">
      <c r="A15" s="20"/>
      <c r="B15" s="21"/>
      <c r="C15" s="17"/>
    </row>
    <row r="16" spans="1:4" ht="25.5" customHeight="1" x14ac:dyDescent="0.25">
      <c r="A16" s="18"/>
      <c r="B16" s="19"/>
      <c r="C16" s="17"/>
    </row>
    <row r="17" spans="1:3" ht="25.5" customHeight="1" x14ac:dyDescent="0.25">
      <c r="A17" s="20"/>
      <c r="B17" s="21"/>
      <c r="C17" s="17"/>
    </row>
    <row r="18" spans="1:3" ht="25.5" customHeight="1" x14ac:dyDescent="0.25">
      <c r="A18" s="18"/>
      <c r="B18" s="22"/>
      <c r="C18" s="17"/>
    </row>
  </sheetData>
  <mergeCells count="3">
    <mergeCell ref="A1:D1"/>
    <mergeCell ref="A2:D2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Teste</vt:lpstr>
      <vt:lpstr>Casos de Teste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guilherme daudt</cp:lastModifiedBy>
  <cp:revision>0</cp:revision>
  <dcterms:created xsi:type="dcterms:W3CDTF">2026-07-01T23:16:27Z</dcterms:created>
  <dcterms:modified xsi:type="dcterms:W3CDTF">2026-07-02T21:26:24Z</dcterms:modified>
  <dc:language>en-US</dc:language>
</cp:coreProperties>
</file>